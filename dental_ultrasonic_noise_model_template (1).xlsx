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showInkAnnotation="0" autoCompressPictures="0"/>
  <xr:revisionPtr revIDLastSave="0" documentId="8_{CDC497DD-D1EE-48C5-B4DB-B0E0CF071A4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Source_Data" sheetId="2" r:id="rId2"/>
    <sheet name="Scenario_Model" sheetId="3" r:id="rId3"/>
    <sheet name="Formula_Example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C6" i="4"/>
  <c r="D5" i="4"/>
  <c r="C5" i="4"/>
  <c r="D4" i="4"/>
  <c r="C4" i="4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L11" i="3" l="1"/>
  <c r="K11" i="3"/>
  <c r="J11" i="3"/>
  <c r="L12" i="3"/>
  <c r="K12" i="3"/>
  <c r="J12" i="3"/>
  <c r="L13" i="3"/>
  <c r="K13" i="3"/>
  <c r="J13" i="3"/>
  <c r="L14" i="3"/>
  <c r="K14" i="3"/>
  <c r="J14" i="3"/>
  <c r="L15" i="3"/>
  <c r="K15" i="3"/>
  <c r="J15" i="3"/>
  <c r="L16" i="3"/>
  <c r="K16" i="3"/>
  <c r="J16" i="3"/>
  <c r="L17" i="3"/>
  <c r="K17" i="3"/>
  <c r="J17" i="3"/>
  <c r="L18" i="3"/>
  <c r="K18" i="3"/>
  <c r="J18" i="3"/>
  <c r="L19" i="3"/>
  <c r="K19" i="3"/>
  <c r="J19" i="3"/>
  <c r="L20" i="3"/>
  <c r="K20" i="3"/>
  <c r="J20" i="3"/>
  <c r="L21" i="3"/>
  <c r="K21" i="3"/>
  <c r="J21" i="3"/>
  <c r="L22" i="3"/>
  <c r="K22" i="3"/>
  <c r="J22" i="3"/>
  <c r="L23" i="3"/>
  <c r="K23" i="3"/>
  <c r="J23" i="3"/>
  <c r="L24" i="3"/>
  <c r="K24" i="3"/>
  <c r="J24" i="3"/>
  <c r="L25" i="3"/>
  <c r="K25" i="3"/>
  <c r="J25" i="3"/>
  <c r="L26" i="3"/>
  <c r="K26" i="3"/>
  <c r="J26" i="3"/>
  <c r="L27" i="3"/>
  <c r="K27" i="3"/>
  <c r="J27" i="3"/>
  <c r="L28" i="3"/>
  <c r="K28" i="3"/>
  <c r="J28" i="3"/>
  <c r="L29" i="3"/>
  <c r="K29" i="3"/>
  <c r="J29" i="3"/>
  <c r="L30" i="3"/>
  <c r="K30" i="3"/>
  <c r="J30" i="3"/>
  <c r="D34" i="3" l="1"/>
  <c r="D35" i="3"/>
</calcChain>
</file>

<file path=xl/sharedStrings.xml><?xml version="1.0" encoding="utf-8"?>
<sst xmlns="http://schemas.openxmlformats.org/spreadsheetml/2006/main" count="361" uniqueCount="133">
  <si>
    <t>Ultrasonic &amp; dental noise calculation scheme</t>
  </si>
  <si>
    <t>Purpose</t>
  </si>
  <si>
    <t>This workbook helps estimate target-point noise from literature reference measurements.</t>
  </si>
  <si>
    <t>It separates audible and ultrasonic/high-frequency values, applies distance correction, optionally applies air absorption, and combines concurrent sources logarithmically.</t>
  </si>
  <si>
    <t>Core formulas used</t>
  </si>
  <si>
    <t>1) Distance correction (free field): L_target = L_ref + 20*LOG10(d_ref / d_target)</t>
  </si>
  <si>
    <t>2) Air absorption correction: A_atm = alpha * (d_target - d_ref), where alpha is in dB/m</t>
  </si>
  <si>
    <t>3) Single-source prediction: L_pred = L_ref + 20*LOG10(d_ref / d_target) - A_atm</t>
  </si>
  <si>
    <t>4) Combine concurrent independent sources: L_total = 10*LOG10(SUM(10^(L_i/10)))</t>
  </si>
  <si>
    <t>5) Allowable audible exposure time (NIOSH 3 dB exchange): T_hours = 8 * 2^((85 - L)/3)</t>
  </si>
  <si>
    <t>How to use</t>
  </si>
  <si>
    <t>• Fill or edit literature rows on Source_Data, or copy selected rows into Scenario_Model.</t>
  </si>
  <si>
    <t>• On Scenario_Model set Active=1 for each source you want included.</t>
  </si>
  <si>
    <t>• Use audible_dB / audible_dBA only in the audible total. Use ultrasound_band_dB or ultrasound_peak_dBSPL only in the ultrasonic total.</t>
  </si>
  <si>
    <t>• Set alpha_dB_per_m to 0 for a first-pass audible model. For ultrasonic modelling, enter a frequency-specific value from ISO 9613-1 or your own measurements.</t>
  </si>
  <si>
    <t>Important limitations</t>
  </si>
  <si>
    <t>• The distance formula is a first-order approximation and is most valid near free-field conditions.</t>
  </si>
  <si>
    <t>• Do not directly combine dB(A) and ultrasonic-band dB into one total; keep them separate.</t>
  </si>
  <si>
    <t>• A-weighted values describe human-audible noise. Ultrasonic-band dB refers to a specified high-frequency band or peak and is not equivalent to dB(A).</t>
  </si>
  <si>
    <t>• Room reflections, shielding, directionality, temperature and humidity can materially change real values.</t>
  </si>
  <si>
    <t>Literature reference measurements</t>
  </si>
  <si>
    <t>Device</t>
  </si>
  <si>
    <t>Operating_mode</t>
  </si>
  <si>
    <t>Suction_mode</t>
  </si>
  <si>
    <t>Measurement_type</t>
  </si>
  <si>
    <t>Value</t>
  </si>
  <si>
    <t>Unit</t>
  </si>
  <si>
    <t>Frequency_band</t>
  </si>
  <si>
    <t>Ref_distance_m</t>
  </si>
  <si>
    <t>Environment</t>
  </si>
  <si>
    <t>Study</t>
  </si>
  <si>
    <t>Year</t>
  </si>
  <si>
    <t>Source_URL</t>
  </si>
  <si>
    <t>Ultrasonic scaler</t>
  </si>
  <si>
    <t>turned_on_only</t>
  </si>
  <si>
    <t>none</t>
  </si>
  <si>
    <t>audible_dBA</t>
  </si>
  <si>
    <t>dB(A)</t>
  </si>
  <si>
    <t>audible</t>
  </si>
  <si>
    <t>clinic</t>
  </si>
  <si>
    <t>Qsaibati &amp; Ibrahim</t>
  </si>
  <si>
    <t>https://pmc.ncbi.nlm.nih.gov/articles/PMC4275629/</t>
  </si>
  <si>
    <t>audible_dB</t>
  </si>
  <si>
    <t>dB</t>
  </si>
  <si>
    <t>Otoum et al.</t>
  </si>
  <si>
    <t>https://rmsjournal.org/Articles/637597959727034783.pdf</t>
  </si>
  <si>
    <t>operating</t>
  </si>
  <si>
    <t>low_volume</t>
  </si>
  <si>
    <t>high_volume</t>
  </si>
  <si>
    <t>1/3 octave band</t>
  </si>
  <si>
    <t>n/a</t>
  </si>
  <si>
    <t>ultrasound_band_dB</t>
  </si>
  <si>
    <t>25 kHz 1/3 octave</t>
  </si>
  <si>
    <t>lab/simulated</t>
  </si>
  <si>
    <t>Sorainen &amp; Rytkönen</t>
  </si>
  <si>
    <t>https://pubmed.ncbi.nlm.nih.gov/11975661/</t>
  </si>
  <si>
    <t>High-speed handpiece</t>
  </si>
  <si>
    <t>tooth_cutting</t>
  </si>
  <si>
    <t>High-speed turbine</t>
  </si>
  <si>
    <t>average_clinical_use</t>
  </si>
  <si>
    <t>Low-speed handpiece</t>
  </si>
  <si>
    <t>Low-speed contra-angle</t>
  </si>
  <si>
    <t>Micro motor handpiece</t>
  </si>
  <si>
    <t>cutting_acrylic</t>
  </si>
  <si>
    <t>Low-volume suction pump</t>
  </si>
  <si>
    <t>running_free</t>
  </si>
  <si>
    <t>touching_mucosa</t>
  </si>
  <si>
    <t>Clinic cumulative noise</t>
  </si>
  <si>
    <t>general_background</t>
  </si>
  <si>
    <t>clinic center</t>
  </si>
  <si>
    <t>Pedodontic clinic cumulative</t>
  </si>
  <si>
    <t>Dental turbine</t>
  </si>
  <si>
    <t>spectral_peak</t>
  </si>
  <si>
    <t>ultrasound_peak_kHz</t>
  </si>
  <si>
    <t>kHz</t>
  </si>
  <si>
    <t>ultrasonic peak</t>
  </si>
  <si>
    <t>spectral analysis</t>
  </si>
  <si>
    <t>Barek et al.</t>
  </si>
  <si>
    <t>https://pubmed.ncbi.nlm.nih.gov/12271344/</t>
  </si>
  <si>
    <t>spectral_amplitude</t>
  </si>
  <si>
    <t>ultrasound_peak_dBSPL</t>
  </si>
  <si>
    <t>dB SPL</t>
  </si>
  <si>
    <t>46.5 kHz</t>
  </si>
  <si>
    <t>Scenario model</t>
  </si>
  <si>
    <t>Scenario controls</t>
  </si>
  <si>
    <t>Scenario_name</t>
  </si>
  <si>
    <t>Example_Audible_And_Ultrasound</t>
  </si>
  <si>
    <t>Temperature_C</t>
  </si>
  <si>
    <t>20</t>
  </si>
  <si>
    <t>Relative_humidity_pct</t>
  </si>
  <si>
    <t>50</t>
  </si>
  <si>
    <t>Note</t>
  </si>
  <si>
    <t>Set alpha_dB_per_m manually; audible first-pass can use 0</t>
  </si>
  <si>
    <t>Active</t>
  </si>
  <si>
    <t>L_ref</t>
  </si>
  <si>
    <t>d_ref_m</t>
  </si>
  <si>
    <t>d_target_m</t>
  </si>
  <si>
    <t>alpha_dB_per_m</t>
  </si>
  <si>
    <t>L_pred_target</t>
  </si>
  <si>
    <t>Energy_audible</t>
  </si>
  <si>
    <t>Energy_ultrasound</t>
  </si>
  <si>
    <t>Allowable_hours_if_audible</t>
  </si>
  <si>
    <t/>
  </si>
  <si>
    <t>Scenario outputs</t>
  </si>
  <si>
    <t>Total audible level (combined)</t>
  </si>
  <si>
    <t>Total ultrasonic level (combined)</t>
  </si>
  <si>
    <t>Target point note</t>
  </si>
  <si>
    <t>Audible and ultrasonic totals are intentionally separated</t>
  </si>
  <si>
    <t>Model note</t>
  </si>
  <si>
    <t>For ultrasonic rows, set alpha_dB_per_m from ISO 9613-1 or measurement</t>
  </si>
  <si>
    <t>Column meanings</t>
  </si>
  <si>
    <t>Reference measurement from the literature.</t>
  </si>
  <si>
    <t>Distance where the literature value was measured.</t>
  </si>
  <si>
    <t>Distance where you want the prediction.</t>
  </si>
  <si>
    <t>User-entered atmospheric attenuation coefficient.</t>
  </si>
  <si>
    <t>Predicted level after distance and air absorption correction.</t>
  </si>
  <si>
    <t>Worked examples</t>
  </si>
  <si>
    <t>Example</t>
  </si>
  <si>
    <t>Input</t>
  </si>
  <si>
    <t>Formula</t>
  </si>
  <si>
    <t>Result</t>
  </si>
  <si>
    <t>Units</t>
  </si>
  <si>
    <t>Comment</t>
  </si>
  <si>
    <t>Distance only</t>
  </si>
  <si>
    <t>L_ref=81.6 dB; d_ref=0.30 m; d_target=0.60 m</t>
  </si>
  <si>
    <t>Ultrasonic scaler audible example</t>
  </si>
  <si>
    <t>Combine 3 audible sources</t>
  </si>
  <si>
    <t>85.5, 81.6, 78.0 dB</t>
  </si>
  <si>
    <t>High-speed + scaler + suction</t>
  </si>
  <si>
    <t>Allowable time</t>
  </si>
  <si>
    <t>L=86.2 dBA</t>
  </si>
  <si>
    <t>hours</t>
  </si>
  <si>
    <t>NIOSH 3 dB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</si>
</sst>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666666"/>
      <name val="Calibri"/>
    </font>
    <font>
      <sz val="11"/>
      <color rgb="FF0000FF"/>
      <name val="Calibri"/>
    </font>
    <font>
      <b/>
      <sz val="11"/>
      <color rgb="FF800080"/>
      <name val="Calibri"/>
    </font>
    <font>
      <sz val="11"/>
      <color rgb="FF000000"/>
      <name val="Calibri"/>
    </font>
    <font>
      <b/>
      <sz val="11"/>
      <color rgb="FF666666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6E99"/>
      </patternFill>
    </fill>
    <fill>
      <patternFill patternType="solid">
        <fgColor rgb="FFFFF2CC"/>
      </patternFill>
    </fill>
    <fill>
      <patternFill patternType="solid">
        <fgColor rgb="FFEAF2FF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0" fontId="10" fillId="0" borderId="0"/>
  </cellStyleXfs>
  <cellXfs count="22">
    <xf numFmtId="0" fontId="0" fillId="0" borderId="0" xfId="0"/>
    <xf numFmtId="0" fontId="0" fillId="0" borderId="0" xfId="1" applyFont="1" applyAlignment="1">
      <alignment wrapText="1"/>
    </xf>
    <xf numFmtId="0" fontId="0" fillId="4" borderId="0" xfId="1" applyFont="1" applyFill="1" applyAlignment="1">
      <alignment vertical="top" wrapText="1"/>
    </xf>
    <xf numFmtId="0" fontId="3" fillId="2" borderId="1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 wrapText="1"/>
    </xf>
    <xf numFmtId="2" fontId="4" fillId="0" borderId="0" xfId="1" applyNumberFormat="1" applyFont="1" applyAlignment="1">
      <alignment horizontal="right"/>
    </xf>
    <xf numFmtId="2" fontId="5" fillId="0" borderId="0" xfId="1" applyNumberFormat="1" applyFont="1" applyAlignment="1">
      <alignment horizontal="right"/>
    </xf>
    <xf numFmtId="1" fontId="0" fillId="0" borderId="0" xfId="1" applyNumberFormat="1" applyFont="1"/>
    <xf numFmtId="0" fontId="6" fillId="5" borderId="0" xfId="1" applyFont="1" applyFill="1"/>
    <xf numFmtId="0" fontId="6" fillId="5" borderId="0" xfId="1" applyFont="1" applyFill="1" applyAlignment="1">
      <alignment wrapText="1"/>
    </xf>
    <xf numFmtId="2" fontId="6" fillId="5" borderId="0" xfId="1" applyNumberFormat="1" applyFont="1" applyFill="1"/>
    <xf numFmtId="2" fontId="8" fillId="6" borderId="0" xfId="1" applyNumberFormat="1" applyFont="1" applyFill="1"/>
    <xf numFmtId="11" fontId="8" fillId="6" borderId="0" xfId="1" applyNumberFormat="1" applyFont="1" applyFill="1"/>
    <xf numFmtId="0" fontId="9" fillId="0" borderId="0" xfId="1" applyFont="1"/>
    <xf numFmtId="0" fontId="6" fillId="5" borderId="0" xfId="1" applyFont="1" applyFill="1" applyAlignment="1">
      <alignment vertical="top" wrapText="1"/>
    </xf>
    <xf numFmtId="0" fontId="5" fillId="7" borderId="0" xfId="1" applyFont="1" applyFill="1" applyAlignment="1">
      <alignment vertical="top" wrapText="1"/>
    </xf>
    <xf numFmtId="0" fontId="7" fillId="0" borderId="0" xfId="1" applyFont="1" applyAlignment="1">
      <alignment wrapText="1"/>
    </xf>
    <xf numFmtId="0" fontId="2" fillId="3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 vertical="center"/>
    </xf>
    <xf numFmtId="0" fontId="8" fillId="4" borderId="0" xfId="1" applyFont="1" applyFill="1" applyAlignment="1">
      <alignment wrapText="1"/>
    </xf>
    <xf numFmtId="0" fontId="0" fillId="0" borderId="0" xfId="0" applyAlignment="1"/>
    <xf numFmtId="0" fontId="7" fillId="0" borderId="0" xfId="1" applyFont="1" applyAlignment="1"/>
  </cellXfs>
  <cellStyles count="2">
    <cellStyle name="Normal" xfId="1" xr:uid="{00000000-0005-0000-0000-000000000000}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workbookViewId="0"/>
  </sheetViews>
  <sheetFormatPr defaultRowHeight="15"/>
  <cols>
    <col min="1" max="1" width="105" customWidth="1"/>
    <col min="2" max="8" width="15" customWidth="1"/>
  </cols>
  <sheetData>
    <row r="1" spans="1:8" ht="24" customHeight="1">
      <c r="A1" s="18" t="s">
        <v>0</v>
      </c>
      <c r="B1" s="20"/>
      <c r="C1" s="20"/>
      <c r="D1" s="20"/>
      <c r="E1" s="20"/>
      <c r="F1" s="20"/>
      <c r="G1" s="20"/>
      <c r="H1" s="20"/>
    </row>
    <row r="3" spans="1:8">
      <c r="A3" s="17" t="s">
        <v>1</v>
      </c>
      <c r="B3" s="20"/>
      <c r="C3" s="20"/>
      <c r="D3" s="20"/>
      <c r="E3" s="20"/>
      <c r="F3" s="20"/>
      <c r="G3" s="20"/>
      <c r="H3" s="20"/>
    </row>
    <row r="4" spans="1:8">
      <c r="A4" s="1" t="s">
        <v>2</v>
      </c>
    </row>
    <row r="5" spans="1:8">
      <c r="A5" s="1" t="s">
        <v>3</v>
      </c>
    </row>
    <row r="7" spans="1:8">
      <c r="A7" s="17" t="s">
        <v>4</v>
      </c>
      <c r="B7" s="20"/>
      <c r="C7" s="20"/>
      <c r="D7" s="20"/>
      <c r="E7" s="20"/>
      <c r="F7" s="20"/>
      <c r="G7" s="20"/>
      <c r="H7" s="20"/>
    </row>
    <row r="8" spans="1:8">
      <c r="A8" s="1" t="s">
        <v>5</v>
      </c>
    </row>
    <row r="9" spans="1:8">
      <c r="A9" s="1" t="s">
        <v>6</v>
      </c>
    </row>
    <row r="10" spans="1:8">
      <c r="A10" s="1" t="s">
        <v>7</v>
      </c>
    </row>
    <row r="11" spans="1:8">
      <c r="A11" s="1" t="s">
        <v>8</v>
      </c>
    </row>
    <row r="12" spans="1:8">
      <c r="A12" s="1" t="s">
        <v>9</v>
      </c>
    </row>
    <row r="14" spans="1:8">
      <c r="A14" s="17" t="s">
        <v>10</v>
      </c>
      <c r="B14" s="20"/>
      <c r="C14" s="20"/>
      <c r="D14" s="20"/>
      <c r="E14" s="20"/>
      <c r="F14" s="20"/>
      <c r="G14" s="20"/>
      <c r="H14" s="20"/>
    </row>
    <row r="15" spans="1:8">
      <c r="A15" s="1" t="s">
        <v>11</v>
      </c>
    </row>
    <row r="16" spans="1:8">
      <c r="A16" s="1" t="s">
        <v>12</v>
      </c>
    </row>
    <row r="17" spans="1:8">
      <c r="A17" s="1" t="s">
        <v>13</v>
      </c>
    </row>
    <row r="18" spans="1:8">
      <c r="A18" s="1" t="s">
        <v>14</v>
      </c>
    </row>
    <row r="20" spans="1:8">
      <c r="A20" s="17" t="s">
        <v>15</v>
      </c>
      <c r="B20" s="20"/>
      <c r="C20" s="20"/>
      <c r="D20" s="20"/>
      <c r="E20" s="20"/>
      <c r="F20" s="20"/>
      <c r="G20" s="20"/>
      <c r="H20" s="20"/>
    </row>
    <row r="21" spans="1:8">
      <c r="A21" s="2" t="s">
        <v>16</v>
      </c>
    </row>
    <row r="22" spans="1:8">
      <c r="A22" s="2" t="s">
        <v>17</v>
      </c>
    </row>
    <row r="23" spans="1:8">
      <c r="A23" s="2" t="s">
        <v>18</v>
      </c>
    </row>
    <row r="24" spans="1:8">
      <c r="A24" s="2" t="s">
        <v>19</v>
      </c>
    </row>
  </sheetData>
  <mergeCells count="5">
    <mergeCell ref="A3:H3"/>
    <mergeCell ref="A7:H7"/>
    <mergeCell ref="A20:H20"/>
    <mergeCell ref="A14:H14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showGridLines="0" workbookViewId="0"/>
  </sheetViews>
  <sheetFormatPr defaultRowHeight="15"/>
  <cols>
    <col min="1" max="2" width="22" customWidth="1"/>
    <col min="3" max="3" width="16" customWidth="1"/>
    <col min="4" max="4" width="22" customWidth="1"/>
    <col min="5" max="6" width="10" customWidth="1"/>
    <col min="7" max="7" width="18" customWidth="1"/>
    <col min="8" max="8" width="14" customWidth="1"/>
    <col min="9" max="9" width="16" customWidth="1"/>
    <col min="10" max="10" width="18" customWidth="1"/>
    <col min="11" max="11" width="8" customWidth="1"/>
    <col min="12" max="12" width="52" customWidth="1"/>
  </cols>
  <sheetData>
    <row r="1" spans="1:12">
      <c r="A1" s="18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3" spans="1:12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</row>
    <row r="4" spans="1:12">
      <c r="A4" s="4" t="s">
        <v>33</v>
      </c>
      <c r="B4" s="4" t="s">
        <v>34</v>
      </c>
      <c r="C4" s="4" t="s">
        <v>35</v>
      </c>
      <c r="D4" s="4" t="s">
        <v>36</v>
      </c>
      <c r="E4" s="5">
        <v>51.7</v>
      </c>
      <c r="F4" t="s">
        <v>37</v>
      </c>
      <c r="G4" s="4" t="s">
        <v>38</v>
      </c>
      <c r="H4" s="6">
        <v>0.15</v>
      </c>
      <c r="I4" s="4" t="s">
        <v>39</v>
      </c>
      <c r="J4" s="4" t="s">
        <v>40</v>
      </c>
      <c r="K4" s="7">
        <v>2014</v>
      </c>
      <c r="L4" s="4" t="s">
        <v>41</v>
      </c>
    </row>
    <row r="5" spans="1:12">
      <c r="A5" s="4" t="s">
        <v>33</v>
      </c>
      <c r="B5" s="4" t="s">
        <v>34</v>
      </c>
      <c r="C5" s="4" t="s">
        <v>35</v>
      </c>
      <c r="D5" s="4" t="s">
        <v>42</v>
      </c>
      <c r="E5" s="5">
        <v>63</v>
      </c>
      <c r="F5" t="s">
        <v>43</v>
      </c>
      <c r="G5" s="4" t="s">
        <v>38</v>
      </c>
      <c r="H5" s="6">
        <v>0.3</v>
      </c>
      <c r="I5" s="4" t="s">
        <v>39</v>
      </c>
      <c r="J5" s="4" t="s">
        <v>44</v>
      </c>
      <c r="K5" s="7">
        <v>2021</v>
      </c>
      <c r="L5" s="4" t="s">
        <v>45</v>
      </c>
    </row>
    <row r="6" spans="1:12">
      <c r="A6" s="4" t="s">
        <v>33</v>
      </c>
      <c r="B6" s="4" t="s">
        <v>46</v>
      </c>
      <c r="C6" s="4" t="s">
        <v>47</v>
      </c>
      <c r="D6" s="4" t="s">
        <v>42</v>
      </c>
      <c r="E6" s="5">
        <v>74.2</v>
      </c>
      <c r="F6" t="s">
        <v>43</v>
      </c>
      <c r="G6" s="4" t="s">
        <v>38</v>
      </c>
      <c r="H6" s="6">
        <v>0.3</v>
      </c>
      <c r="I6" s="4" t="s">
        <v>39</v>
      </c>
      <c r="J6" s="4" t="s">
        <v>44</v>
      </c>
      <c r="K6" s="7">
        <v>2021</v>
      </c>
      <c r="L6" s="4" t="s">
        <v>45</v>
      </c>
    </row>
    <row r="7" spans="1:12">
      <c r="A7" s="4" t="s">
        <v>33</v>
      </c>
      <c r="B7" s="4" t="s">
        <v>46</v>
      </c>
      <c r="C7" s="4" t="s">
        <v>48</v>
      </c>
      <c r="D7" s="4" t="s">
        <v>42</v>
      </c>
      <c r="E7" s="5">
        <v>81.599999999999994</v>
      </c>
      <c r="F7" t="s">
        <v>43</v>
      </c>
      <c r="G7" s="4" t="s">
        <v>38</v>
      </c>
      <c r="H7" s="6">
        <v>0.3</v>
      </c>
      <c r="I7" s="4" t="s">
        <v>39</v>
      </c>
      <c r="J7" s="4" t="s">
        <v>44</v>
      </c>
      <c r="K7" s="7">
        <v>2021</v>
      </c>
      <c r="L7" s="4" t="s">
        <v>45</v>
      </c>
    </row>
    <row r="8" spans="1:12">
      <c r="A8" s="4" t="s">
        <v>33</v>
      </c>
      <c r="B8" s="4" t="s">
        <v>49</v>
      </c>
      <c r="C8" s="4" t="s">
        <v>50</v>
      </c>
      <c r="D8" s="4" t="s">
        <v>51</v>
      </c>
      <c r="E8" s="5">
        <v>107</v>
      </c>
      <c r="F8" t="s">
        <v>43</v>
      </c>
      <c r="G8" s="4" t="s">
        <v>52</v>
      </c>
      <c r="H8" s="6"/>
      <c r="I8" s="4" t="s">
        <v>53</v>
      </c>
      <c r="J8" s="4" t="s">
        <v>54</v>
      </c>
      <c r="K8" s="7">
        <v>2002</v>
      </c>
      <c r="L8" s="4" t="s">
        <v>55</v>
      </c>
    </row>
    <row r="9" spans="1:12">
      <c r="A9" s="4" t="s">
        <v>56</v>
      </c>
      <c r="B9" s="4" t="s">
        <v>34</v>
      </c>
      <c r="C9" s="4" t="s">
        <v>35</v>
      </c>
      <c r="D9" s="4" t="s">
        <v>42</v>
      </c>
      <c r="E9" s="5">
        <v>63.35</v>
      </c>
      <c r="F9" t="s">
        <v>43</v>
      </c>
      <c r="G9" s="4" t="s">
        <v>38</v>
      </c>
      <c r="H9" s="6">
        <v>0.3</v>
      </c>
      <c r="I9" s="4" t="s">
        <v>39</v>
      </c>
      <c r="J9" s="4" t="s">
        <v>44</v>
      </c>
      <c r="K9" s="7">
        <v>2021</v>
      </c>
      <c r="L9" s="4" t="s">
        <v>45</v>
      </c>
    </row>
    <row r="10" spans="1:12">
      <c r="A10" s="4" t="s">
        <v>56</v>
      </c>
      <c r="B10" s="4" t="s">
        <v>57</v>
      </c>
      <c r="C10" s="4" t="s">
        <v>35</v>
      </c>
      <c r="D10" s="4" t="s">
        <v>42</v>
      </c>
      <c r="E10" s="5">
        <v>75.5</v>
      </c>
      <c r="F10" t="s">
        <v>43</v>
      </c>
      <c r="G10" s="4" t="s">
        <v>38</v>
      </c>
      <c r="H10" s="6">
        <v>0.3</v>
      </c>
      <c r="I10" s="4" t="s">
        <v>39</v>
      </c>
      <c r="J10" s="4" t="s">
        <v>44</v>
      </c>
      <c r="K10" s="7">
        <v>2021</v>
      </c>
      <c r="L10" s="4" t="s">
        <v>45</v>
      </c>
    </row>
    <row r="11" spans="1:12">
      <c r="A11" s="4" t="s">
        <v>56</v>
      </c>
      <c r="B11" s="4" t="s">
        <v>57</v>
      </c>
      <c r="C11" s="4" t="s">
        <v>47</v>
      </c>
      <c r="D11" s="4" t="s">
        <v>42</v>
      </c>
      <c r="E11" s="5">
        <v>77.150000000000006</v>
      </c>
      <c r="F11" t="s">
        <v>43</v>
      </c>
      <c r="G11" s="4" t="s">
        <v>38</v>
      </c>
      <c r="H11" s="6">
        <v>0.3</v>
      </c>
      <c r="I11" s="4" t="s">
        <v>39</v>
      </c>
      <c r="J11" s="4" t="s">
        <v>44</v>
      </c>
      <c r="K11" s="7">
        <v>2021</v>
      </c>
      <c r="L11" s="4" t="s">
        <v>45</v>
      </c>
    </row>
    <row r="12" spans="1:12">
      <c r="A12" s="4" t="s">
        <v>56</v>
      </c>
      <c r="B12" s="4" t="s">
        <v>57</v>
      </c>
      <c r="C12" s="4" t="s">
        <v>48</v>
      </c>
      <c r="D12" s="4" t="s">
        <v>42</v>
      </c>
      <c r="E12" s="5">
        <v>85.5</v>
      </c>
      <c r="F12" t="s">
        <v>43</v>
      </c>
      <c r="G12" s="4" t="s">
        <v>38</v>
      </c>
      <c r="H12" s="6">
        <v>0.3</v>
      </c>
      <c r="I12" s="4" t="s">
        <v>39</v>
      </c>
      <c r="J12" s="4" t="s">
        <v>44</v>
      </c>
      <c r="K12" s="7">
        <v>2021</v>
      </c>
      <c r="L12" s="4" t="s">
        <v>45</v>
      </c>
    </row>
    <row r="13" spans="1:12">
      <c r="A13" s="4" t="s">
        <v>58</v>
      </c>
      <c r="B13" s="4" t="s">
        <v>59</v>
      </c>
      <c r="C13" s="4" t="s">
        <v>50</v>
      </c>
      <c r="D13" s="4" t="s">
        <v>36</v>
      </c>
      <c r="E13" s="5">
        <v>75.44</v>
      </c>
      <c r="F13" t="s">
        <v>37</v>
      </c>
      <c r="G13" s="4" t="s">
        <v>38</v>
      </c>
      <c r="H13" s="6">
        <v>0.15</v>
      </c>
      <c r="I13" s="4" t="s">
        <v>39</v>
      </c>
      <c r="J13" s="4" t="s">
        <v>40</v>
      </c>
      <c r="K13" s="7">
        <v>2014</v>
      </c>
      <c r="L13" s="4" t="s">
        <v>41</v>
      </c>
    </row>
    <row r="14" spans="1:12">
      <c r="A14" s="4" t="s">
        <v>60</v>
      </c>
      <c r="B14" s="4" t="s">
        <v>34</v>
      </c>
      <c r="C14" s="4" t="s">
        <v>35</v>
      </c>
      <c r="D14" s="4" t="s">
        <v>42</v>
      </c>
      <c r="E14" s="5">
        <v>69.2</v>
      </c>
      <c r="F14" t="s">
        <v>43</v>
      </c>
      <c r="G14" s="4" t="s">
        <v>38</v>
      </c>
      <c r="H14" s="6">
        <v>0.3</v>
      </c>
      <c r="I14" s="4" t="s">
        <v>39</v>
      </c>
      <c r="J14" s="4" t="s">
        <v>44</v>
      </c>
      <c r="K14" s="7">
        <v>2021</v>
      </c>
      <c r="L14" s="4" t="s">
        <v>45</v>
      </c>
    </row>
    <row r="15" spans="1:12">
      <c r="A15" s="4" t="s">
        <v>60</v>
      </c>
      <c r="B15" s="4" t="s">
        <v>57</v>
      </c>
      <c r="C15" s="4" t="s">
        <v>48</v>
      </c>
      <c r="D15" s="4" t="s">
        <v>42</v>
      </c>
      <c r="E15" s="5">
        <v>83.8</v>
      </c>
      <c r="F15" t="s">
        <v>43</v>
      </c>
      <c r="G15" s="4" t="s">
        <v>38</v>
      </c>
      <c r="H15" s="6">
        <v>0.3</v>
      </c>
      <c r="I15" s="4" t="s">
        <v>39</v>
      </c>
      <c r="J15" s="4" t="s">
        <v>44</v>
      </c>
      <c r="K15" s="7">
        <v>2021</v>
      </c>
      <c r="L15" s="4" t="s">
        <v>45</v>
      </c>
    </row>
    <row r="16" spans="1:12">
      <c r="A16" s="4" t="s">
        <v>61</v>
      </c>
      <c r="B16" s="4" t="s">
        <v>59</v>
      </c>
      <c r="C16" s="4" t="s">
        <v>50</v>
      </c>
      <c r="D16" s="4" t="s">
        <v>36</v>
      </c>
      <c r="E16" s="5">
        <v>68.31</v>
      </c>
      <c r="F16" t="s">
        <v>37</v>
      </c>
      <c r="G16" s="4" t="s">
        <v>38</v>
      </c>
      <c r="H16" s="6">
        <v>0.15</v>
      </c>
      <c r="I16" s="4" t="s">
        <v>39</v>
      </c>
      <c r="J16" s="4" t="s">
        <v>40</v>
      </c>
      <c r="K16" s="7">
        <v>2014</v>
      </c>
      <c r="L16" s="4" t="s">
        <v>41</v>
      </c>
    </row>
    <row r="17" spans="1:12">
      <c r="A17" s="4" t="s">
        <v>62</v>
      </c>
      <c r="B17" s="4" t="s">
        <v>34</v>
      </c>
      <c r="C17" s="4" t="s">
        <v>35</v>
      </c>
      <c r="D17" s="4" t="s">
        <v>42</v>
      </c>
      <c r="E17" s="5">
        <v>62.6</v>
      </c>
      <c r="F17" t="s">
        <v>43</v>
      </c>
      <c r="G17" s="4" t="s">
        <v>38</v>
      </c>
      <c r="H17" s="6">
        <v>0.3</v>
      </c>
      <c r="I17" s="4" t="s">
        <v>39</v>
      </c>
      <c r="J17" s="4" t="s">
        <v>44</v>
      </c>
      <c r="K17" s="7">
        <v>2021</v>
      </c>
      <c r="L17" s="4" t="s">
        <v>45</v>
      </c>
    </row>
    <row r="18" spans="1:12">
      <c r="A18" s="4" t="s">
        <v>62</v>
      </c>
      <c r="B18" s="4" t="s">
        <v>63</v>
      </c>
      <c r="C18" s="4" t="s">
        <v>35</v>
      </c>
      <c r="D18" s="4" t="s">
        <v>42</v>
      </c>
      <c r="E18" s="5">
        <v>78.900000000000006</v>
      </c>
      <c r="F18" t="s">
        <v>43</v>
      </c>
      <c r="G18" s="4" t="s">
        <v>38</v>
      </c>
      <c r="H18" s="6">
        <v>0.3</v>
      </c>
      <c r="I18" s="4" t="s">
        <v>39</v>
      </c>
      <c r="J18" s="4" t="s">
        <v>44</v>
      </c>
      <c r="K18" s="7">
        <v>2021</v>
      </c>
      <c r="L18" s="4" t="s">
        <v>45</v>
      </c>
    </row>
    <row r="19" spans="1:12">
      <c r="A19" s="4" t="s">
        <v>62</v>
      </c>
      <c r="B19" s="4" t="s">
        <v>63</v>
      </c>
      <c r="C19" s="4" t="s">
        <v>35</v>
      </c>
      <c r="D19" s="4" t="s">
        <v>36</v>
      </c>
      <c r="E19" s="5">
        <v>92.2</v>
      </c>
      <c r="F19" t="s">
        <v>37</v>
      </c>
      <c r="G19" s="4" t="s">
        <v>38</v>
      </c>
      <c r="H19" s="6">
        <v>0.15</v>
      </c>
      <c r="I19" s="4" t="s">
        <v>39</v>
      </c>
      <c r="J19" s="4" t="s">
        <v>40</v>
      </c>
      <c r="K19" s="7">
        <v>2014</v>
      </c>
      <c r="L19" s="4" t="s">
        <v>41</v>
      </c>
    </row>
    <row r="20" spans="1:12">
      <c r="A20" s="4" t="s">
        <v>64</v>
      </c>
      <c r="B20" s="4" t="s">
        <v>65</v>
      </c>
      <c r="C20" s="4" t="s">
        <v>50</v>
      </c>
      <c r="D20" s="4" t="s">
        <v>42</v>
      </c>
      <c r="E20" s="5">
        <v>70.75</v>
      </c>
      <c r="F20" t="s">
        <v>43</v>
      </c>
      <c r="G20" s="4" t="s">
        <v>38</v>
      </c>
      <c r="H20" s="6">
        <v>0.3</v>
      </c>
      <c r="I20" s="4" t="s">
        <v>39</v>
      </c>
      <c r="J20" s="4" t="s">
        <v>44</v>
      </c>
      <c r="K20" s="7">
        <v>2021</v>
      </c>
      <c r="L20" s="4" t="s">
        <v>45</v>
      </c>
    </row>
    <row r="21" spans="1:12">
      <c r="A21" s="4" t="s">
        <v>64</v>
      </c>
      <c r="B21" s="4" t="s">
        <v>66</v>
      </c>
      <c r="C21" s="4" t="s">
        <v>50</v>
      </c>
      <c r="D21" s="4" t="s">
        <v>42</v>
      </c>
      <c r="E21" s="5">
        <v>78</v>
      </c>
      <c r="F21" t="s">
        <v>43</v>
      </c>
      <c r="G21" s="4" t="s">
        <v>38</v>
      </c>
      <c r="H21" s="6">
        <v>0.3</v>
      </c>
      <c r="I21" s="4" t="s">
        <v>39</v>
      </c>
      <c r="J21" s="4" t="s">
        <v>44</v>
      </c>
      <c r="K21" s="7">
        <v>2021</v>
      </c>
      <c r="L21" s="4" t="s">
        <v>45</v>
      </c>
    </row>
    <row r="22" spans="1:12">
      <c r="A22" s="4" t="s">
        <v>67</v>
      </c>
      <c r="B22" s="4" t="s">
        <v>68</v>
      </c>
      <c r="C22" s="4" t="s">
        <v>50</v>
      </c>
      <c r="D22" s="4" t="s">
        <v>42</v>
      </c>
      <c r="E22" s="5">
        <v>72.599999999999994</v>
      </c>
      <c r="F22" t="s">
        <v>43</v>
      </c>
      <c r="G22" s="4" t="s">
        <v>38</v>
      </c>
      <c r="H22" s="6"/>
      <c r="I22" s="4" t="s">
        <v>69</v>
      </c>
      <c r="J22" s="4" t="s">
        <v>44</v>
      </c>
      <c r="K22" s="7">
        <v>2021</v>
      </c>
      <c r="L22" s="4" t="s">
        <v>45</v>
      </c>
    </row>
    <row r="23" spans="1:12">
      <c r="A23" s="4" t="s">
        <v>70</v>
      </c>
      <c r="B23" s="4" t="s">
        <v>68</v>
      </c>
      <c r="C23" s="4" t="s">
        <v>50</v>
      </c>
      <c r="D23" s="4" t="s">
        <v>36</v>
      </c>
      <c r="E23" s="5">
        <v>67.37</v>
      </c>
      <c r="F23" t="s">
        <v>37</v>
      </c>
      <c r="G23" s="4" t="s">
        <v>38</v>
      </c>
      <c r="H23" s="6"/>
      <c r="I23" s="4" t="s">
        <v>69</v>
      </c>
      <c r="J23" s="4" t="s">
        <v>40</v>
      </c>
      <c r="K23" s="7">
        <v>2014</v>
      </c>
      <c r="L23" s="4" t="s">
        <v>41</v>
      </c>
    </row>
    <row r="24" spans="1:12">
      <c r="A24" s="4" t="s">
        <v>71</v>
      </c>
      <c r="B24" s="4" t="s">
        <v>72</v>
      </c>
      <c r="C24" s="4" t="s">
        <v>50</v>
      </c>
      <c r="D24" s="4" t="s">
        <v>73</v>
      </c>
      <c r="E24" s="5">
        <v>20.100000000000001</v>
      </c>
      <c r="F24" t="s">
        <v>74</v>
      </c>
      <c r="G24" s="4" t="s">
        <v>75</v>
      </c>
      <c r="H24" s="6"/>
      <c r="I24" s="4" t="s">
        <v>76</v>
      </c>
      <c r="J24" s="4" t="s">
        <v>77</v>
      </c>
      <c r="K24" s="7">
        <v>1999</v>
      </c>
      <c r="L24" s="4" t="s">
        <v>78</v>
      </c>
    </row>
    <row r="25" spans="1:12">
      <c r="A25" s="4" t="s">
        <v>71</v>
      </c>
      <c r="B25" s="4" t="s">
        <v>72</v>
      </c>
      <c r="C25" s="4" t="s">
        <v>50</v>
      </c>
      <c r="D25" s="4" t="s">
        <v>73</v>
      </c>
      <c r="E25" s="5">
        <v>35.700000000000003</v>
      </c>
      <c r="F25" t="s">
        <v>74</v>
      </c>
      <c r="G25" s="4" t="s">
        <v>75</v>
      </c>
      <c r="H25" s="6"/>
      <c r="I25" s="4" t="s">
        <v>76</v>
      </c>
      <c r="J25" s="4" t="s">
        <v>77</v>
      </c>
      <c r="K25" s="7">
        <v>1999</v>
      </c>
      <c r="L25" s="4" t="s">
        <v>78</v>
      </c>
    </row>
    <row r="26" spans="1:12">
      <c r="A26" s="4" t="s">
        <v>71</v>
      </c>
      <c r="B26" s="4" t="s">
        <v>72</v>
      </c>
      <c r="C26" s="4" t="s">
        <v>50</v>
      </c>
      <c r="D26" s="4" t="s">
        <v>73</v>
      </c>
      <c r="E26" s="5">
        <v>46.5</v>
      </c>
      <c r="F26" t="s">
        <v>74</v>
      </c>
      <c r="G26" s="4" t="s">
        <v>75</v>
      </c>
      <c r="H26" s="6"/>
      <c r="I26" s="4" t="s">
        <v>76</v>
      </c>
      <c r="J26" s="4" t="s">
        <v>77</v>
      </c>
      <c r="K26" s="7">
        <v>1999</v>
      </c>
      <c r="L26" s="4" t="s">
        <v>78</v>
      </c>
    </row>
    <row r="27" spans="1:12">
      <c r="A27" s="4" t="s">
        <v>71</v>
      </c>
      <c r="B27" s="4" t="s">
        <v>79</v>
      </c>
      <c r="C27" s="4" t="s">
        <v>50</v>
      </c>
      <c r="D27" s="4" t="s">
        <v>80</v>
      </c>
      <c r="E27" s="5">
        <v>115</v>
      </c>
      <c r="F27" t="s">
        <v>81</v>
      </c>
      <c r="G27" s="4" t="s">
        <v>82</v>
      </c>
      <c r="H27" s="6"/>
      <c r="I27" s="4" t="s">
        <v>76</v>
      </c>
      <c r="J27" s="4" t="s">
        <v>77</v>
      </c>
      <c r="K27" s="7">
        <v>1999</v>
      </c>
      <c r="L27" s="4" t="s">
        <v>78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showGridLines="0" workbookViewId="0"/>
  </sheetViews>
  <sheetFormatPr defaultRowHeight="15"/>
  <cols>
    <col min="1" max="1" width="22" customWidth="1"/>
    <col min="2" max="2" width="32" customWidth="1"/>
    <col min="3" max="3" width="21" customWidth="1"/>
    <col min="4" max="4" width="14" customWidth="1"/>
    <col min="5" max="7" width="10" customWidth="1"/>
    <col min="8" max="8" width="16" customWidth="1"/>
    <col min="9" max="9" width="12" customWidth="1"/>
    <col min="10" max="11" width="14" customWidth="1"/>
    <col min="12" max="12" width="18" customWidth="1"/>
    <col min="13" max="13" width="46" customWidth="1"/>
  </cols>
  <sheetData>
    <row r="1" spans="1:13">
      <c r="A1" s="18" t="s">
        <v>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3" spans="1:13">
      <c r="A3" s="17" t="s">
        <v>84</v>
      </c>
      <c r="B3" s="20"/>
      <c r="C3" s="20"/>
      <c r="D3" s="20"/>
      <c r="E3" s="20"/>
    </row>
    <row r="4" spans="1:13">
      <c r="A4" s="16" t="s">
        <v>85</v>
      </c>
      <c r="B4" s="8" t="s">
        <v>86</v>
      </c>
    </row>
    <row r="5" spans="1:13">
      <c r="A5" s="16" t="s">
        <v>87</v>
      </c>
      <c r="B5" s="8" t="s">
        <v>88</v>
      </c>
    </row>
    <row r="6" spans="1:13">
      <c r="A6" s="16" t="s">
        <v>89</v>
      </c>
      <c r="B6" s="8" t="s">
        <v>90</v>
      </c>
    </row>
    <row r="7" spans="1:13" ht="32.1" customHeight="1">
      <c r="A7" s="16" t="s">
        <v>91</v>
      </c>
      <c r="B7" s="9" t="s">
        <v>92</v>
      </c>
    </row>
    <row r="10" spans="1:13">
      <c r="A10" s="3" t="s">
        <v>93</v>
      </c>
      <c r="B10" s="3" t="s">
        <v>21</v>
      </c>
      <c r="C10" s="3" t="s">
        <v>24</v>
      </c>
      <c r="D10" s="3" t="s">
        <v>94</v>
      </c>
      <c r="E10" s="3" t="s">
        <v>26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  <c r="L10" s="3" t="s">
        <v>101</v>
      </c>
      <c r="M10" s="3" t="s">
        <v>32</v>
      </c>
    </row>
    <row r="11" spans="1:13">
      <c r="A11" s="8">
        <v>1</v>
      </c>
      <c r="B11" s="8" t="s">
        <v>33</v>
      </c>
      <c r="C11" s="8" t="s">
        <v>42</v>
      </c>
      <c r="D11" s="10">
        <v>81.599999999999994</v>
      </c>
      <c r="E11" s="8" t="s">
        <v>43</v>
      </c>
      <c r="F11" s="10">
        <v>0.3</v>
      </c>
      <c r="G11" s="10">
        <v>0.6</v>
      </c>
      <c r="H11" s="10">
        <v>0</v>
      </c>
      <c r="I11" s="11">
        <f>IF(OR(A11=0,D11&lt;=0,F11&lt;=0,G11&lt;=0),"",D11+20*LOG10(F11/G11)-H11*(G11-F11))</f>
        <v>75.579400086720369</v>
      </c>
      <c r="J11" s="12">
        <f>IF(OR(A11=0,I11="",NOT(OR(C11="audible_dB",C11="audible_dBA"))),0,10^(I11/10))</f>
        <v>36135994.268648192</v>
      </c>
      <c r="K11" s="12">
        <f>IF(OR(A11=0,I11="",NOT(OR(C11="ultrasound_band_dB",C11="ultrasound_peak_dBSPL"))),0,10^(I11/10))</f>
        <v>0</v>
      </c>
      <c r="L11" s="11">
        <f>IF(OR(A11=0,I11="",NOT(OR(C11="audible_dB",C11="audible_dBA"))),"",8*2^((85-I11)/3))</f>
        <v>70.531703095595304</v>
      </c>
      <c r="M11" s="8" t="s">
        <v>45</v>
      </c>
    </row>
    <row r="12" spans="1:13">
      <c r="A12" s="8">
        <v>1</v>
      </c>
      <c r="B12" s="8" t="s">
        <v>56</v>
      </c>
      <c r="C12" s="8" t="s">
        <v>42</v>
      </c>
      <c r="D12" s="10">
        <v>85.5</v>
      </c>
      <c r="E12" s="8" t="s">
        <v>43</v>
      </c>
      <c r="F12" s="10">
        <v>0.3</v>
      </c>
      <c r="G12" s="10">
        <v>0.6</v>
      </c>
      <c r="H12" s="10">
        <v>0</v>
      </c>
      <c r="I12" s="11">
        <f>IF(OR(A12=0,D12&lt;=0,F12&lt;=0,G12&lt;=0),"",D12+20*LOG10(F12/G12)-H12*(G12-F12))</f>
        <v>79.479400086720375</v>
      </c>
      <c r="J12" s="12">
        <f>IF(OR(A12=0,I12="",NOT(OR(C12="audible_dB",C12="audible_dBA"))),0,10^(I12/10))</f>
        <v>88703347.308393851</v>
      </c>
      <c r="K12" s="12">
        <f>IF(OR(A12=0,I12="",NOT(OR(C12="ultrasound_band_dB",C12="ultrasound_peak_dBSPL"))),0,10^(I12/10))</f>
        <v>0</v>
      </c>
      <c r="L12" s="11">
        <f>IF(OR(A12=0,I12="",NOT(OR(C12="audible_dB",C12="audible_dBA"))),"",8*2^((85-I12)/3))</f>
        <v>28.644772429241868</v>
      </c>
      <c r="M12" s="8" t="s">
        <v>45</v>
      </c>
    </row>
    <row r="13" spans="1:13">
      <c r="A13" s="8">
        <v>1</v>
      </c>
      <c r="B13" s="8" t="s">
        <v>64</v>
      </c>
      <c r="C13" s="8" t="s">
        <v>42</v>
      </c>
      <c r="D13" s="10">
        <v>78</v>
      </c>
      <c r="E13" s="8" t="s">
        <v>43</v>
      </c>
      <c r="F13" s="10">
        <v>0.3</v>
      </c>
      <c r="G13" s="10">
        <v>0.6</v>
      </c>
      <c r="H13" s="10">
        <v>0</v>
      </c>
      <c r="I13" s="11">
        <f>IF(OR(A13=0,D13&lt;=0,F13&lt;=0,G13&lt;=0),"",D13+20*LOG10(F13/G13)-H13*(G13-F13))</f>
        <v>71.979400086720375</v>
      </c>
      <c r="J13" s="12">
        <f>IF(OR(A13=0,I13="",NOT(OR(C13="audible_dB",C13="audible_dBA"))),0,10^(I13/10))</f>
        <v>15773933.61200483</v>
      </c>
      <c r="K13" s="12">
        <f>IF(OR(A13=0,I13="",NOT(OR(C13="ultrasound_band_dB",C13="ultrasound_peak_dBSPL"))),0,10^(I13/10))</f>
        <v>0</v>
      </c>
      <c r="L13" s="11">
        <f>IF(OR(A13=0,I13="",NOT(OR(C13="audible_dB",C13="audible_dBA"))),"",8*2^((85-I13)/3))</f>
        <v>162.03930264209902</v>
      </c>
      <c r="M13" s="8" t="s">
        <v>45</v>
      </c>
    </row>
    <row r="14" spans="1:13">
      <c r="A14" s="8">
        <v>1</v>
      </c>
      <c r="B14" s="8" t="s">
        <v>33</v>
      </c>
      <c r="C14" s="8" t="s">
        <v>51</v>
      </c>
      <c r="D14" s="10">
        <v>107</v>
      </c>
      <c r="E14" s="8" t="s">
        <v>43</v>
      </c>
      <c r="F14" s="10">
        <v>1</v>
      </c>
      <c r="G14" s="10">
        <v>2</v>
      </c>
      <c r="H14" s="10">
        <v>0</v>
      </c>
      <c r="I14" s="11">
        <f>IF(OR(A14=0,D14&lt;=0,F14&lt;=0,G14&lt;=0),"",D14+20*LOG10(F14/G14)-H14*(G14-F14))</f>
        <v>100.97940008672037</v>
      </c>
      <c r="J14" s="12">
        <f>IF(OR(A14=0,I14="",NOT(OR(C14="audible_dB",C14="audible_dBA"))),0,10^(I14/10))</f>
        <v>0</v>
      </c>
      <c r="K14" s="12">
        <f>IF(OR(A14=0,I14="",NOT(OR(C14="ultrasound_band_dB",C14="ultrasound_peak_dBSPL"))),0,10^(I14/10))</f>
        <v>12529680840.681814</v>
      </c>
      <c r="L14" s="11" t="str">
        <f>IF(OR(A14=0,I14="",NOT(OR(C14="audible_dB",C14="audible_dBA"))),"",8*2^((85-I14)/3))</f>
        <v/>
      </c>
      <c r="M14" s="8" t="s">
        <v>55</v>
      </c>
    </row>
    <row r="15" spans="1:13">
      <c r="A15" s="8">
        <v>1</v>
      </c>
      <c r="B15" s="8" t="s">
        <v>71</v>
      </c>
      <c r="C15" s="8" t="s">
        <v>80</v>
      </c>
      <c r="D15" s="10">
        <v>115</v>
      </c>
      <c r="E15" s="8" t="s">
        <v>81</v>
      </c>
      <c r="F15" s="10">
        <v>1</v>
      </c>
      <c r="G15" s="10">
        <v>2</v>
      </c>
      <c r="H15" s="10">
        <v>0</v>
      </c>
      <c r="I15" s="11">
        <f>IF(OR(A15=0,D15&lt;=0,F15&lt;=0,G15&lt;=0),"",D15+20*LOG10(F15/G15)-H15*(G15-F15))</f>
        <v>108.97940008672037</v>
      </c>
      <c r="J15" s="12">
        <f>IF(OR(A15=0,I15="",NOT(OR(C15="audible_dB",C15="audible_dBA"))),0,10^(I15/10))</f>
        <v>0</v>
      </c>
      <c r="K15" s="12">
        <f>IF(OR(A15=0,I15="",NOT(OR(C15="ultrasound_band_dB",C15="ultrasound_peak_dBSPL"))),0,10^(I15/10))</f>
        <v>79056941504.209778</v>
      </c>
      <c r="L15" s="11" t="str">
        <f>IF(OR(A15=0,I15="",NOT(OR(C15="audible_dB",C15="audible_dBA"))),"",8*2^((85-I15)/3))</f>
        <v/>
      </c>
      <c r="M15" s="8" t="s">
        <v>78</v>
      </c>
    </row>
    <row r="16" spans="1:13">
      <c r="A16" s="8">
        <v>0</v>
      </c>
      <c r="B16" s="8" t="s">
        <v>102</v>
      </c>
      <c r="C16" s="8" t="s">
        <v>42</v>
      </c>
      <c r="D16" s="10">
        <v>0</v>
      </c>
      <c r="E16" s="8" t="s">
        <v>43</v>
      </c>
      <c r="F16" s="10">
        <v>0.3</v>
      </c>
      <c r="G16" s="10">
        <v>1</v>
      </c>
      <c r="H16" s="10">
        <v>0</v>
      </c>
      <c r="I16" s="11" t="str">
        <f>IF(OR(A16=0,D16&lt;=0,F16&lt;=0,G16&lt;=0),"",D16+20*LOG10(F16/G16)-H16*(G16-F16))</f>
        <v/>
      </c>
      <c r="J16" s="12">
        <f>IF(OR(A16=0,I16="",NOT(OR(C16="audible_dB",C16="audible_dBA"))),0,10^(I16/10))</f>
        <v>0</v>
      </c>
      <c r="K16" s="12">
        <f>IF(OR(A16=0,I16="",NOT(OR(C16="ultrasound_band_dB",C16="ultrasound_peak_dBSPL"))),0,10^(I16/10))</f>
        <v>0</v>
      </c>
      <c r="L16" s="11" t="str">
        <f>IF(OR(A16=0,I16="",NOT(OR(C16="audible_dB",C16="audible_dBA"))),"",8*2^((85-I16)/3))</f>
        <v/>
      </c>
      <c r="M16" s="8" t="s">
        <v>102</v>
      </c>
    </row>
    <row r="17" spans="1:13">
      <c r="A17" s="8">
        <v>0</v>
      </c>
      <c r="B17" s="8"/>
      <c r="C17" s="8" t="s">
        <v>42</v>
      </c>
      <c r="D17" s="10">
        <v>0</v>
      </c>
      <c r="E17" s="8" t="s">
        <v>43</v>
      </c>
      <c r="F17" s="10">
        <v>0.3</v>
      </c>
      <c r="G17" s="10">
        <v>1</v>
      </c>
      <c r="H17" s="10">
        <v>0</v>
      </c>
      <c r="I17" s="11" t="str">
        <f>IF(OR(A17=0,D17&lt;=0,F17&lt;=0,G17&lt;=0),"",D17+20*LOG10(F17/G17)-H17*(G17-F17))</f>
        <v/>
      </c>
      <c r="J17" s="12">
        <f>IF(OR(A17=0,I17="",NOT(OR(C17="audible_dB",C17="audible_dBA"))),0,10^(I17/10))</f>
        <v>0</v>
      </c>
      <c r="K17" s="12">
        <f>IF(OR(A17=0,I17="",NOT(OR(C17="ultrasound_band_dB",C17="ultrasound_peak_dBSPL"))),0,10^(I17/10))</f>
        <v>0</v>
      </c>
      <c r="L17" s="11" t="str">
        <f>IF(OR(A17=0,I17="",NOT(OR(C17="audible_dB",C17="audible_dBA"))),"",8*2^((85-I17)/3))</f>
        <v/>
      </c>
      <c r="M17" s="8"/>
    </row>
    <row r="18" spans="1:13">
      <c r="A18" s="8">
        <v>0</v>
      </c>
      <c r="B18" s="8"/>
      <c r="C18" s="8" t="s">
        <v>42</v>
      </c>
      <c r="D18" s="10">
        <v>0</v>
      </c>
      <c r="E18" s="8" t="s">
        <v>43</v>
      </c>
      <c r="F18" s="10">
        <v>0.3</v>
      </c>
      <c r="G18" s="10">
        <v>1</v>
      </c>
      <c r="H18" s="10">
        <v>0</v>
      </c>
      <c r="I18" s="11" t="str">
        <f>IF(OR(A18=0,D18&lt;=0,F18&lt;=0,G18&lt;=0),"",D18+20*LOG10(F18/G18)-H18*(G18-F18))</f>
        <v/>
      </c>
      <c r="J18" s="12">
        <f>IF(OR(A18=0,I18="",NOT(OR(C18="audible_dB",C18="audible_dBA"))),0,10^(I18/10))</f>
        <v>0</v>
      </c>
      <c r="K18" s="12">
        <f>IF(OR(A18=0,I18="",NOT(OR(C18="ultrasound_band_dB",C18="ultrasound_peak_dBSPL"))),0,10^(I18/10))</f>
        <v>0</v>
      </c>
      <c r="L18" s="11" t="str">
        <f>IF(OR(A18=0,I18="",NOT(OR(C18="audible_dB",C18="audible_dBA"))),"",8*2^((85-I18)/3))</f>
        <v/>
      </c>
      <c r="M18" s="8"/>
    </row>
    <row r="19" spans="1:13">
      <c r="A19" s="8">
        <v>0</v>
      </c>
      <c r="B19" s="8"/>
      <c r="C19" s="8" t="s">
        <v>42</v>
      </c>
      <c r="D19" s="10">
        <v>0</v>
      </c>
      <c r="E19" s="8" t="s">
        <v>43</v>
      </c>
      <c r="F19" s="10">
        <v>0.3</v>
      </c>
      <c r="G19" s="10">
        <v>1</v>
      </c>
      <c r="H19" s="10">
        <v>0</v>
      </c>
      <c r="I19" s="11" t="str">
        <f>IF(OR(A19=0,D19&lt;=0,F19&lt;=0,G19&lt;=0),"",D19+20*LOG10(F19/G19)-H19*(G19-F19))</f>
        <v/>
      </c>
      <c r="J19" s="12">
        <f>IF(OR(A19=0,I19="",NOT(OR(C19="audible_dB",C19="audible_dBA"))),0,10^(I19/10))</f>
        <v>0</v>
      </c>
      <c r="K19" s="12">
        <f>IF(OR(A19=0,I19="",NOT(OR(C19="ultrasound_band_dB",C19="ultrasound_peak_dBSPL"))),0,10^(I19/10))</f>
        <v>0</v>
      </c>
      <c r="L19" s="11" t="str">
        <f>IF(OR(A19=0,I19="",NOT(OR(C19="audible_dB",C19="audible_dBA"))),"",8*2^((85-I19)/3))</f>
        <v/>
      </c>
      <c r="M19" s="8"/>
    </row>
    <row r="20" spans="1:13">
      <c r="A20" s="8">
        <v>0</v>
      </c>
      <c r="B20" s="8"/>
      <c r="C20" s="8" t="s">
        <v>42</v>
      </c>
      <c r="D20" s="10">
        <v>0</v>
      </c>
      <c r="E20" s="8" t="s">
        <v>43</v>
      </c>
      <c r="F20" s="10">
        <v>0.3</v>
      </c>
      <c r="G20" s="10">
        <v>1</v>
      </c>
      <c r="H20" s="10">
        <v>0</v>
      </c>
      <c r="I20" s="11" t="str">
        <f>IF(OR(A20=0,D20&lt;=0,F20&lt;=0,G20&lt;=0),"",D20+20*LOG10(F20/G20)-H20*(G20-F20))</f>
        <v/>
      </c>
      <c r="J20" s="12">
        <f>IF(OR(A20=0,I20="",NOT(OR(C20="audible_dB",C20="audible_dBA"))),0,10^(I20/10))</f>
        <v>0</v>
      </c>
      <c r="K20" s="12">
        <f>IF(OR(A20=0,I20="",NOT(OR(C20="ultrasound_band_dB",C20="ultrasound_peak_dBSPL"))),0,10^(I20/10))</f>
        <v>0</v>
      </c>
      <c r="L20" s="11" t="str">
        <f>IF(OR(A20=0,I20="",NOT(OR(C20="audible_dB",C20="audible_dBA"))),"",8*2^((85-I20)/3))</f>
        <v/>
      </c>
      <c r="M20" s="8"/>
    </row>
    <row r="21" spans="1:13">
      <c r="A21" s="8">
        <v>0</v>
      </c>
      <c r="B21" s="8"/>
      <c r="C21" s="8" t="s">
        <v>42</v>
      </c>
      <c r="D21" s="10">
        <v>0</v>
      </c>
      <c r="E21" s="8" t="s">
        <v>43</v>
      </c>
      <c r="F21" s="10">
        <v>0.3</v>
      </c>
      <c r="G21" s="10">
        <v>1</v>
      </c>
      <c r="H21" s="10">
        <v>0</v>
      </c>
      <c r="I21" s="11" t="str">
        <f>IF(OR(A21=0,D21&lt;=0,F21&lt;=0,G21&lt;=0),"",D21+20*LOG10(F21/G21)-H21*(G21-F21))</f>
        <v/>
      </c>
      <c r="J21" s="12">
        <f>IF(OR(A21=0,I21="",NOT(OR(C21="audible_dB",C21="audible_dBA"))),0,10^(I21/10))</f>
        <v>0</v>
      </c>
      <c r="K21" s="12">
        <f>IF(OR(A21=0,I21="",NOT(OR(C21="ultrasound_band_dB",C21="ultrasound_peak_dBSPL"))),0,10^(I21/10))</f>
        <v>0</v>
      </c>
      <c r="L21" s="11" t="str">
        <f>IF(OR(A21=0,I21="",NOT(OR(C21="audible_dB",C21="audible_dBA"))),"",8*2^((85-I21)/3))</f>
        <v/>
      </c>
      <c r="M21" s="8"/>
    </row>
    <row r="22" spans="1:13">
      <c r="A22" s="8">
        <v>0</v>
      </c>
      <c r="B22" s="8"/>
      <c r="C22" s="8" t="s">
        <v>42</v>
      </c>
      <c r="D22" s="10">
        <v>0</v>
      </c>
      <c r="E22" s="8" t="s">
        <v>43</v>
      </c>
      <c r="F22" s="10">
        <v>0.3</v>
      </c>
      <c r="G22" s="10">
        <v>1</v>
      </c>
      <c r="H22" s="10">
        <v>0</v>
      </c>
      <c r="I22" s="11" t="str">
        <f>IF(OR(A22=0,D22&lt;=0,F22&lt;=0,G22&lt;=0),"",D22+20*LOG10(F22/G22)-H22*(G22-F22))</f>
        <v/>
      </c>
      <c r="J22" s="12">
        <f>IF(OR(A22=0,I22="",NOT(OR(C22="audible_dB",C22="audible_dBA"))),0,10^(I22/10))</f>
        <v>0</v>
      </c>
      <c r="K22" s="12">
        <f>IF(OR(A22=0,I22="",NOT(OR(C22="ultrasound_band_dB",C22="ultrasound_peak_dBSPL"))),0,10^(I22/10))</f>
        <v>0</v>
      </c>
      <c r="L22" s="11" t="str">
        <f>IF(OR(A22=0,I22="",NOT(OR(C22="audible_dB",C22="audible_dBA"))),"",8*2^((85-I22)/3))</f>
        <v/>
      </c>
      <c r="M22" s="8"/>
    </row>
    <row r="23" spans="1:13">
      <c r="A23" s="8">
        <v>0</v>
      </c>
      <c r="B23" s="8"/>
      <c r="C23" s="8" t="s">
        <v>42</v>
      </c>
      <c r="D23" s="10">
        <v>0</v>
      </c>
      <c r="E23" s="8" t="s">
        <v>43</v>
      </c>
      <c r="F23" s="10">
        <v>0.3</v>
      </c>
      <c r="G23" s="10">
        <v>1</v>
      </c>
      <c r="H23" s="10">
        <v>0</v>
      </c>
      <c r="I23" s="11" t="str">
        <f>IF(OR(A23=0,D23&lt;=0,F23&lt;=0,G23&lt;=0),"",D23+20*LOG10(F23/G23)-H23*(G23-F23))</f>
        <v/>
      </c>
      <c r="J23" s="12">
        <f>IF(OR(A23=0,I23="",NOT(OR(C23="audible_dB",C23="audible_dBA"))),0,10^(I23/10))</f>
        <v>0</v>
      </c>
      <c r="K23" s="12">
        <f>IF(OR(A23=0,I23="",NOT(OR(C23="ultrasound_band_dB",C23="ultrasound_peak_dBSPL"))),0,10^(I23/10))</f>
        <v>0</v>
      </c>
      <c r="L23" s="11" t="str">
        <f>IF(OR(A23=0,I23="",NOT(OR(C23="audible_dB",C23="audible_dBA"))),"",8*2^((85-I23)/3))</f>
        <v/>
      </c>
      <c r="M23" s="8"/>
    </row>
    <row r="24" spans="1:13">
      <c r="A24" s="8">
        <v>0</v>
      </c>
      <c r="B24" s="8"/>
      <c r="C24" s="8" t="s">
        <v>42</v>
      </c>
      <c r="D24" s="10">
        <v>0</v>
      </c>
      <c r="E24" s="8" t="s">
        <v>43</v>
      </c>
      <c r="F24" s="10">
        <v>0.3</v>
      </c>
      <c r="G24" s="10">
        <v>1</v>
      </c>
      <c r="H24" s="10">
        <v>0</v>
      </c>
      <c r="I24" s="11" t="str">
        <f>IF(OR(A24=0,D24&lt;=0,F24&lt;=0,G24&lt;=0),"",D24+20*LOG10(F24/G24)-H24*(G24-F24))</f>
        <v/>
      </c>
      <c r="J24" s="12">
        <f>IF(OR(A24=0,I24="",NOT(OR(C24="audible_dB",C24="audible_dBA"))),0,10^(I24/10))</f>
        <v>0</v>
      </c>
      <c r="K24" s="12">
        <f>IF(OR(A24=0,I24="",NOT(OR(C24="ultrasound_band_dB",C24="ultrasound_peak_dBSPL"))),0,10^(I24/10))</f>
        <v>0</v>
      </c>
      <c r="L24" s="11" t="str">
        <f>IF(OR(A24=0,I24="",NOT(OR(C24="audible_dB",C24="audible_dBA"))),"",8*2^((85-I24)/3))</f>
        <v/>
      </c>
      <c r="M24" s="8"/>
    </row>
    <row r="25" spans="1:13">
      <c r="A25" s="8">
        <v>0</v>
      </c>
      <c r="B25" s="8"/>
      <c r="C25" s="8" t="s">
        <v>42</v>
      </c>
      <c r="D25" s="10">
        <v>0</v>
      </c>
      <c r="E25" s="8" t="s">
        <v>43</v>
      </c>
      <c r="F25" s="10">
        <v>0.3</v>
      </c>
      <c r="G25" s="10">
        <v>1</v>
      </c>
      <c r="H25" s="10">
        <v>0</v>
      </c>
      <c r="I25" s="11" t="str">
        <f>IF(OR(A25=0,D25&lt;=0,F25&lt;=0,G25&lt;=0),"",D25+20*LOG10(F25/G25)-H25*(G25-F25))</f>
        <v/>
      </c>
      <c r="J25" s="12">
        <f>IF(OR(A25=0,I25="",NOT(OR(C25="audible_dB",C25="audible_dBA"))),0,10^(I25/10))</f>
        <v>0</v>
      </c>
      <c r="K25" s="12">
        <f>IF(OR(A25=0,I25="",NOT(OR(C25="ultrasound_band_dB",C25="ultrasound_peak_dBSPL"))),0,10^(I25/10))</f>
        <v>0</v>
      </c>
      <c r="L25" s="11" t="str">
        <f>IF(OR(A25=0,I25="",NOT(OR(C25="audible_dB",C25="audible_dBA"))),"",8*2^((85-I25)/3))</f>
        <v/>
      </c>
      <c r="M25" s="8"/>
    </row>
    <row r="26" spans="1:13">
      <c r="A26" s="8">
        <v>0</v>
      </c>
      <c r="B26" s="8"/>
      <c r="C26" s="8" t="s">
        <v>42</v>
      </c>
      <c r="D26" s="10">
        <v>0</v>
      </c>
      <c r="E26" s="8" t="s">
        <v>43</v>
      </c>
      <c r="F26" s="10">
        <v>0.3</v>
      </c>
      <c r="G26" s="10">
        <v>1</v>
      </c>
      <c r="H26" s="10">
        <v>0</v>
      </c>
      <c r="I26" s="11" t="str">
        <f>IF(OR(A26=0,D26&lt;=0,F26&lt;=0,G26&lt;=0),"",D26+20*LOG10(F26/G26)-H26*(G26-F26))</f>
        <v/>
      </c>
      <c r="J26" s="12">
        <f>IF(OR(A26=0,I26="",NOT(OR(C26="audible_dB",C26="audible_dBA"))),0,10^(I26/10))</f>
        <v>0</v>
      </c>
      <c r="K26" s="12">
        <f>IF(OR(A26=0,I26="",NOT(OR(C26="ultrasound_band_dB",C26="ultrasound_peak_dBSPL"))),0,10^(I26/10))</f>
        <v>0</v>
      </c>
      <c r="L26" s="11" t="str">
        <f>IF(OR(A26=0,I26="",NOT(OR(C26="audible_dB",C26="audible_dBA"))),"",8*2^((85-I26)/3))</f>
        <v/>
      </c>
      <c r="M26" s="8"/>
    </row>
    <row r="27" spans="1:13">
      <c r="A27" s="8">
        <v>0</v>
      </c>
      <c r="B27" s="8"/>
      <c r="C27" s="8" t="s">
        <v>42</v>
      </c>
      <c r="D27" s="10">
        <v>0</v>
      </c>
      <c r="E27" s="8" t="s">
        <v>43</v>
      </c>
      <c r="F27" s="10">
        <v>0.3</v>
      </c>
      <c r="G27" s="10">
        <v>1</v>
      </c>
      <c r="H27" s="10">
        <v>0</v>
      </c>
      <c r="I27" s="11" t="str">
        <f>IF(OR(A27=0,D27&lt;=0,F27&lt;=0,G27&lt;=0),"",D27+20*LOG10(F27/G27)-H27*(G27-F27))</f>
        <v/>
      </c>
      <c r="J27" s="12">
        <f>IF(OR(A27=0,I27="",NOT(OR(C27="audible_dB",C27="audible_dBA"))),0,10^(I27/10))</f>
        <v>0</v>
      </c>
      <c r="K27" s="12">
        <f>IF(OR(A27=0,I27="",NOT(OR(C27="ultrasound_band_dB",C27="ultrasound_peak_dBSPL"))),0,10^(I27/10))</f>
        <v>0</v>
      </c>
      <c r="L27" s="11" t="str">
        <f>IF(OR(A27=0,I27="",NOT(OR(C27="audible_dB",C27="audible_dBA"))),"",8*2^((85-I27)/3))</f>
        <v/>
      </c>
      <c r="M27" s="8"/>
    </row>
    <row r="28" spans="1:13">
      <c r="A28" s="8">
        <v>0</v>
      </c>
      <c r="B28" s="8"/>
      <c r="C28" s="8" t="s">
        <v>42</v>
      </c>
      <c r="D28" s="10">
        <v>0</v>
      </c>
      <c r="E28" s="8" t="s">
        <v>43</v>
      </c>
      <c r="F28" s="10">
        <v>0.3</v>
      </c>
      <c r="G28" s="10">
        <v>1</v>
      </c>
      <c r="H28" s="10">
        <v>0</v>
      </c>
      <c r="I28" s="11" t="str">
        <f>IF(OR(A28=0,D28&lt;=0,F28&lt;=0,G28&lt;=0),"",D28+20*LOG10(F28/G28)-H28*(G28-F28))</f>
        <v/>
      </c>
      <c r="J28" s="12">
        <f>IF(OR(A28=0,I28="",NOT(OR(C28="audible_dB",C28="audible_dBA"))),0,10^(I28/10))</f>
        <v>0</v>
      </c>
      <c r="K28" s="12">
        <f>IF(OR(A28=0,I28="",NOT(OR(C28="ultrasound_band_dB",C28="ultrasound_peak_dBSPL"))),0,10^(I28/10))</f>
        <v>0</v>
      </c>
      <c r="L28" s="11" t="str">
        <f>IF(OR(A28=0,I28="",NOT(OR(C28="audible_dB",C28="audible_dBA"))),"",8*2^((85-I28)/3))</f>
        <v/>
      </c>
      <c r="M28" s="8"/>
    </row>
    <row r="29" spans="1:13">
      <c r="A29" s="8">
        <v>0</v>
      </c>
      <c r="B29" s="8"/>
      <c r="C29" s="8" t="s">
        <v>42</v>
      </c>
      <c r="D29" s="10">
        <v>0</v>
      </c>
      <c r="E29" s="8" t="s">
        <v>43</v>
      </c>
      <c r="F29" s="10">
        <v>0.3</v>
      </c>
      <c r="G29" s="10">
        <v>1</v>
      </c>
      <c r="H29" s="10">
        <v>0</v>
      </c>
      <c r="I29" s="11" t="str">
        <f>IF(OR(A29=0,D29&lt;=0,F29&lt;=0,G29&lt;=0),"",D29+20*LOG10(F29/G29)-H29*(G29-F29))</f>
        <v/>
      </c>
      <c r="J29" s="12">
        <f>IF(OR(A29=0,I29="",NOT(OR(C29="audible_dB",C29="audible_dBA"))),0,10^(I29/10))</f>
        <v>0</v>
      </c>
      <c r="K29" s="12">
        <f>IF(OR(A29=0,I29="",NOT(OR(C29="ultrasound_band_dB",C29="ultrasound_peak_dBSPL"))),0,10^(I29/10))</f>
        <v>0</v>
      </c>
      <c r="L29" s="11" t="str">
        <f>IF(OR(A29=0,I29="",NOT(OR(C29="audible_dB",C29="audible_dBA"))),"",8*2^((85-I29)/3))</f>
        <v/>
      </c>
      <c r="M29" s="8"/>
    </row>
    <row r="30" spans="1:13">
      <c r="A30" s="8">
        <v>0</v>
      </c>
      <c r="B30" s="8"/>
      <c r="C30" s="8" t="s">
        <v>42</v>
      </c>
      <c r="D30" s="10">
        <v>0</v>
      </c>
      <c r="E30" s="8" t="s">
        <v>43</v>
      </c>
      <c r="F30" s="10">
        <v>0.3</v>
      </c>
      <c r="G30" s="10">
        <v>1</v>
      </c>
      <c r="H30" s="10">
        <v>0</v>
      </c>
      <c r="I30" s="11" t="str">
        <f>IF(OR(A30=0,D30&lt;=0,F30&lt;=0,G30&lt;=0),"",D30+20*LOG10(F30/G30)-H30*(G30-F30))</f>
        <v/>
      </c>
      <c r="J30" s="12">
        <f>IF(OR(A30=0,I30="",NOT(OR(C30="audible_dB",C30="audible_dBA"))),0,10^(I30/10))</f>
        <v>0</v>
      </c>
      <c r="K30" s="12">
        <f>IF(OR(A30=0,I30="",NOT(OR(C30="ultrasound_band_dB",C30="ultrasound_peak_dBSPL"))),0,10^(I30/10))</f>
        <v>0</v>
      </c>
      <c r="L30" s="11" t="str">
        <f>IF(OR(A30=0,I30="",NOT(OR(C30="audible_dB",C30="audible_dBA"))),"",8*2^((85-I30)/3))</f>
        <v/>
      </c>
      <c r="M30" s="8"/>
    </row>
    <row r="33" spans="1:8">
      <c r="A33" s="17" t="s">
        <v>103</v>
      </c>
      <c r="B33" s="20"/>
      <c r="C33" s="20"/>
      <c r="D33" s="20"/>
      <c r="E33" s="20"/>
      <c r="F33" s="20"/>
    </row>
    <row r="34" spans="1:8">
      <c r="A34" s="21" t="s">
        <v>104</v>
      </c>
      <c r="B34" s="20"/>
      <c r="C34" s="20"/>
      <c r="D34" s="11">
        <f>IF(SUM(J11:J30)&gt;0,10*LOG10(SUM(J11:J30)),"")</f>
        <v>81.480263240208615</v>
      </c>
    </row>
    <row r="35" spans="1:8">
      <c r="A35" s="21" t="s">
        <v>105</v>
      </c>
      <c r="B35" s="20"/>
      <c r="C35" s="20"/>
      <c r="D35" s="11">
        <f>IF(SUM(K11:K30)&gt;0,10*LOG10(SUM(K11:K30)),"")</f>
        <v>109.61832042815418</v>
      </c>
    </row>
    <row r="36" spans="1:8">
      <c r="A36" s="21" t="s">
        <v>106</v>
      </c>
      <c r="B36" s="20"/>
      <c r="C36" s="20"/>
      <c r="D36" s="19" t="s">
        <v>107</v>
      </c>
      <c r="E36" s="20"/>
      <c r="F36" s="20"/>
    </row>
    <row r="37" spans="1:8">
      <c r="A37" s="21" t="s">
        <v>108</v>
      </c>
      <c r="B37" s="20"/>
      <c r="C37" s="20"/>
      <c r="D37" s="19" t="s">
        <v>109</v>
      </c>
      <c r="E37" s="20"/>
      <c r="F37" s="20"/>
      <c r="G37" s="20"/>
      <c r="H37" s="20"/>
    </row>
    <row r="39" spans="1:8">
      <c r="A39" s="17" t="s">
        <v>110</v>
      </c>
      <c r="B39" s="20"/>
      <c r="C39" s="20"/>
      <c r="D39" s="20"/>
      <c r="E39" s="20"/>
      <c r="F39" s="20"/>
    </row>
    <row r="40" spans="1:8">
      <c r="A40" s="13" t="s">
        <v>94</v>
      </c>
      <c r="B40" s="1" t="s">
        <v>111</v>
      </c>
    </row>
    <row r="41" spans="1:8">
      <c r="A41" s="13" t="s">
        <v>95</v>
      </c>
      <c r="B41" s="1" t="s">
        <v>112</v>
      </c>
    </row>
    <row r="42" spans="1:8">
      <c r="A42" s="13" t="s">
        <v>96</v>
      </c>
      <c r="B42" s="1" t="s">
        <v>113</v>
      </c>
    </row>
    <row r="43" spans="1:8">
      <c r="A43" s="13" t="s">
        <v>97</v>
      </c>
      <c r="B43" s="1" t="s">
        <v>114</v>
      </c>
    </row>
    <row r="44" spans="1:8">
      <c r="A44" s="13" t="s">
        <v>98</v>
      </c>
      <c r="B44" s="1" t="s">
        <v>115</v>
      </c>
    </row>
  </sheetData>
  <mergeCells count="10">
    <mergeCell ref="A39:F39"/>
    <mergeCell ref="A3:E3"/>
    <mergeCell ref="A33:F33"/>
    <mergeCell ref="A36:C36"/>
    <mergeCell ref="A1:M1"/>
    <mergeCell ref="A37:C37"/>
    <mergeCell ref="D36:F36"/>
    <mergeCell ref="D37:H37"/>
    <mergeCell ref="A34:C34"/>
    <mergeCell ref="A35:C35"/>
  </mergeCells>
  <dataValidations count="2">
    <dataValidation type="list" sqref="A11:A30" xr:uid="{00000000-0002-0000-0200-000000000000}">
      <formula1>"0,1"</formula1>
    </dataValidation>
    <dataValidation type="list" allowBlank="1" sqref="C11:C30" xr:uid="{00000000-0002-0000-0200-000001000000}">
      <formula1>"audible_dB,audible_dBA,ultrasound_band_dB,ultrasound_peak_dBSPL,ultrasound_peak_kHz"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showGridLines="0" workbookViewId="0"/>
  </sheetViews>
  <sheetFormatPr defaultRowHeight="15"/>
  <cols>
    <col min="1" max="1" width="18" customWidth="1"/>
    <col min="2" max="3" width="34" customWidth="1"/>
    <col min="4" max="5" width="12" customWidth="1"/>
    <col min="6" max="6" width="36" customWidth="1"/>
  </cols>
  <sheetData>
    <row r="1" spans="1:8">
      <c r="A1" s="18" t="s">
        <v>116</v>
      </c>
      <c r="B1" s="20"/>
      <c r="C1" s="20"/>
      <c r="D1" s="20"/>
      <c r="E1" s="20"/>
      <c r="F1" s="20"/>
      <c r="G1" s="20"/>
      <c r="H1" s="20"/>
    </row>
    <row r="3" spans="1:8">
      <c r="A3" s="3" t="s">
        <v>117</v>
      </c>
      <c r="B3" s="3" t="s">
        <v>118</v>
      </c>
      <c r="C3" s="3" t="s">
        <v>119</v>
      </c>
      <c r="D3" s="3" t="s">
        <v>120</v>
      </c>
      <c r="E3" s="3" t="s">
        <v>121</v>
      </c>
      <c r="F3" s="3" t="s">
        <v>122</v>
      </c>
    </row>
    <row r="4" spans="1:8">
      <c r="A4" s="4" t="s">
        <v>123</v>
      </c>
      <c r="B4" s="14" t="s">
        <v>124</v>
      </c>
      <c r="C4" s="15">
        <f>81.6+20*LOG10(0.3/0.6)</f>
        <v>75.579400086720369</v>
      </c>
      <c r="D4" s="11">
        <f>81.6+20*LOG10(0.3/0.6)</f>
        <v>75.579400086720369</v>
      </c>
      <c r="E4" s="4" t="s">
        <v>43</v>
      </c>
      <c r="F4" s="4" t="s">
        <v>125</v>
      </c>
    </row>
    <row r="5" spans="1:8">
      <c r="A5" s="4" t="s">
        <v>126</v>
      </c>
      <c r="B5" s="14" t="s">
        <v>127</v>
      </c>
      <c r="C5" s="15">
        <f>10*LOG10(10^(85.5/10)+10^(81.6/10)+10^(78/10))</f>
        <v>87.50086315348824</v>
      </c>
      <c r="D5" s="11">
        <f>10*LOG10(10^(85.5/10)+10^(81.6/10)+10^(78/10))</f>
        <v>87.50086315348824</v>
      </c>
      <c r="E5" s="4" t="s">
        <v>43</v>
      </c>
      <c r="F5" s="4" t="s">
        <v>128</v>
      </c>
    </row>
    <row r="6" spans="1:8">
      <c r="A6" s="4" t="s">
        <v>129</v>
      </c>
      <c r="B6" s="14" t="s">
        <v>130</v>
      </c>
      <c r="C6" s="15">
        <f>8*2^((85-86.2)/3)</f>
        <v>6.0628662660415884</v>
      </c>
      <c r="D6" s="11">
        <f>8*2^((85-86.2)/3)</f>
        <v>6.0628662660415884</v>
      </c>
      <c r="E6" s="4" t="s">
        <v>131</v>
      </c>
      <c r="F6" s="4" t="s">
        <v>132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2026-04-20T17:54:49Z</dcterms:created>
  <dcterms:modified xsi:type="dcterms:W3CDTF">2026-04-20T17:54:49Z</dcterms:modified>
  <cp:category/>
  <cp:contentStatus/>
</cp:coreProperties>
</file>